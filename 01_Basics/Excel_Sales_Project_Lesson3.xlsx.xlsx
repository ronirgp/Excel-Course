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2637EE93-C76E-4732-9010-61D8E0B57F2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2" l="1"/>
  <c r="F12" i="2"/>
  <c r="F11" i="2"/>
  <c r="F10" i="2"/>
  <c r="F9" i="2"/>
  <c r="F3" i="2"/>
  <c r="F4" i="2"/>
  <c r="F5" i="2"/>
  <c r="F6" i="2"/>
  <c r="F7" i="2"/>
  <c r="F2" i="2"/>
  <c r="F2" i="1"/>
  <c r="F8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<sst xmlns="http://schemas.openxmlformats.org/spreadsheetml/2006/main" count="50" uniqueCount="20">
  <si>
    <t>Date</t>
  </si>
  <si>
    <t xml:space="preserve">Product </t>
  </si>
  <si>
    <t>Category</t>
  </si>
  <si>
    <t>Units Sold</t>
  </si>
  <si>
    <t>Unit Price</t>
  </si>
  <si>
    <t>Total Sales</t>
  </si>
  <si>
    <t>Customer</t>
  </si>
  <si>
    <t>Laptop</t>
  </si>
  <si>
    <t>Electronics</t>
  </si>
  <si>
    <t>Carlos</t>
  </si>
  <si>
    <t>Jose</t>
  </si>
  <si>
    <t>Monitor</t>
  </si>
  <si>
    <t>Maria</t>
  </si>
  <si>
    <t>Headphones</t>
  </si>
  <si>
    <t>Accessories</t>
  </si>
  <si>
    <t>Sofia</t>
  </si>
  <si>
    <t>Keyboard</t>
  </si>
  <si>
    <t>Luis</t>
  </si>
  <si>
    <t>Mouse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</si>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</sst>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2">
    <dxf>
      <numFmt numFmtId="164" formatCode="&quot;$&quot;#,##0.00"/>
    </dxf>
    <dxf>
      <numFmt numFmtId="164" formatCode="&quot;$&quot;#,##0.0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</dxf>
    <dxf>
      <numFmt numFmtId="164" formatCode="&quot;$&quot;#,##0.00"/>
    </dxf>
    <dxf>
      <numFmt numFmtId="164" formatCode="&quot;$&quot;#,##0.0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CE9A1-C18B-46C0-AB43-C0683E9F564A}" name="Table1" displayName="Table1" ref="A1:G8" totalsRowCount="1">
  <autoFilter ref="A1:G7" xr:uid="{87FCE9A1-C18B-46C0-AB43-C0683E9F564A}"/>
  <sortState xmlns:xlrd2="http://schemas.microsoft.com/office/spreadsheetml/2017/richdata2" ref="A2:G7">
    <sortCondition descending="1" ref="F1:F7"/>
  </sortState>
  <tableColumns count="7">
    <tableColumn id="1" xr3:uid="{14E50B29-B0AB-4490-BE35-5EDB0AC578C2}" name="Date" dataDxfId="10" totalsRowDxfId="11"/>
    <tableColumn id="2" xr3:uid="{365B3DC8-8D67-43BB-B101-C92F4F022330}" name="Product " dataDxfId="9"/>
    <tableColumn id="3" xr3:uid="{F264E4F3-5F3B-4A2A-AEE5-713F7DE62F59}" name="Category" dataDxfId="8"/>
    <tableColumn id="4" xr3:uid="{870B2DD2-0391-474F-A0FD-853DABA531A1}" name="Units Sold"/>
    <tableColumn id="5" xr3:uid="{DC09B678-3885-4F99-BBEB-2A902B06A786}" name="Unit Price"/>
    <tableColumn id="6" xr3:uid="{7380663F-CE24-4A2B-B900-AFCFBF02BBCC}" name="Total Sales" totalsRowFunction="custom" dataDxfId="6" totalsRowDxfId="7">
      <calculatedColumnFormula>D2*E2</calculatedColumnFormula>
      <totalsRowFormula>SUBTOTAL(9,F2:F7)</totalsRowFormula>
    </tableColumn>
    <tableColumn id="7" xr3:uid="{7528C725-449D-4159-A1F1-E8CEB6F69042}" name="Custom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D0032-082A-4895-BCED-A5F14AD55EA1}" name="Table13" displayName="Table13" ref="A1:G8" totalsRowCount="1">
  <autoFilter ref="A1:G7" xr:uid="{2D1D0032-082A-4895-BCED-A5F14AD55EA1}"/>
  <sortState xmlns:xlrd2="http://schemas.microsoft.com/office/spreadsheetml/2017/richdata2" ref="A2:G7">
    <sortCondition descending="1" ref="F1:F7"/>
  </sortState>
  <tableColumns count="7">
    <tableColumn id="1" xr3:uid="{05D88D7A-95B2-4889-878D-5F5CCB0C99E2}" name="Date" dataDxfId="4" totalsRowDxfId="5"/>
    <tableColumn id="2" xr3:uid="{CADCE02A-8709-4784-AAFC-605F0CE26FF7}" name="Product " dataDxfId="3"/>
    <tableColumn id="3" xr3:uid="{A995C3FF-48B0-4C98-86F0-3CD6944775B3}" name="Category" dataDxfId="2"/>
    <tableColumn id="4" xr3:uid="{6EBC45E5-9418-43E2-8C8D-1ACDA5BC970F}" name="Units Sold"/>
    <tableColumn id="5" xr3:uid="{E8AF70B0-A1A6-4A4B-B5DF-1612E618F048}" name="Unit Price"/>
    <tableColumn id="6" xr3:uid="{EBF62844-EF60-434F-92A4-F51E2B29F6B5}" name="Total Sales" totalsRowFunction="custom" dataDxfId="0" totalsRowDxfId="1">
      <calculatedColumnFormula>D2*E2</calculatedColumnFormula>
      <totalsRowFormula>SUM(Table13[Total Sales])</totalsRowFormula>
    </tableColumn>
    <tableColumn id="7" xr3:uid="{504278A1-8DCC-4B42-868D-5FCD154F027C}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F12" sqref="F12"/>
    </sheetView>
  </sheetViews>
  <sheetFormatPr defaultRowHeight="15"/>
  <cols>
    <col min="1" max="1" width="13.7109375" customWidth="1"/>
    <col min="2" max="2" width="16" customWidth="1"/>
    <col min="3" max="3" width="12.28515625" customWidth="1"/>
    <col min="4" max="4" width="12.140625" bestFit="1" customWidth="1"/>
    <col min="5" max="5" width="13.140625" customWidth="1"/>
    <col min="6" max="6" width="30.7109375" bestFit="1" customWidth="1"/>
    <col min="7" max="7" width="11.710937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s="5">
        <v>46023</v>
      </c>
      <c r="B2" s="6" t="s">
        <v>7</v>
      </c>
      <c r="C2" s="6" t="s">
        <v>8</v>
      </c>
      <c r="D2">
        <v>2</v>
      </c>
      <c r="E2">
        <v>800</v>
      </c>
      <c r="F2" s="3">
        <f>D2*E2</f>
        <v>1600</v>
      </c>
      <c r="G2" t="s">
        <v>9</v>
      </c>
    </row>
    <row r="3" spans="1:8">
      <c r="A3" s="5">
        <v>46025</v>
      </c>
      <c r="B3" s="6" t="s">
        <v>7</v>
      </c>
      <c r="C3" s="6" t="s">
        <v>8</v>
      </c>
      <c r="D3">
        <v>1</v>
      </c>
      <c r="E3">
        <v>800</v>
      </c>
      <c r="F3" s="3">
        <f t="shared" ref="F2:F7" si="0">D3*E3</f>
        <v>800</v>
      </c>
      <c r="G3" t="s">
        <v>10</v>
      </c>
    </row>
    <row r="4" spans="1:8">
      <c r="A4" s="5">
        <v>46024</v>
      </c>
      <c r="B4" s="6" t="s">
        <v>11</v>
      </c>
      <c r="C4" s="6" t="s">
        <v>8</v>
      </c>
      <c r="D4">
        <v>1</v>
      </c>
      <c r="E4">
        <v>300</v>
      </c>
      <c r="F4" s="3">
        <f t="shared" si="0"/>
        <v>300</v>
      </c>
      <c r="G4" t="s">
        <v>12</v>
      </c>
    </row>
    <row r="5" spans="1:8">
      <c r="A5" s="5">
        <v>46025</v>
      </c>
      <c r="B5" s="6" t="s">
        <v>13</v>
      </c>
      <c r="C5" s="6" t="s">
        <v>14</v>
      </c>
      <c r="D5">
        <v>4</v>
      </c>
      <c r="E5">
        <v>50</v>
      </c>
      <c r="F5" s="3">
        <f t="shared" si="0"/>
        <v>200</v>
      </c>
      <c r="G5" t="s">
        <v>15</v>
      </c>
    </row>
    <row r="6" spans="1:8">
      <c r="A6" s="5">
        <v>46024</v>
      </c>
      <c r="B6" s="6" t="s">
        <v>16</v>
      </c>
      <c r="C6" s="6" t="s">
        <v>14</v>
      </c>
      <c r="D6">
        <v>3</v>
      </c>
      <c r="E6">
        <v>45</v>
      </c>
      <c r="F6" s="3">
        <f t="shared" si="0"/>
        <v>135</v>
      </c>
      <c r="G6" t="s">
        <v>17</v>
      </c>
    </row>
    <row r="7" spans="1:8">
      <c r="A7" s="5">
        <v>46023</v>
      </c>
      <c r="B7" s="6" t="s">
        <v>18</v>
      </c>
      <c r="C7" s="6" t="s">
        <v>14</v>
      </c>
      <c r="D7">
        <v>5</v>
      </c>
      <c r="E7">
        <v>20</v>
      </c>
      <c r="F7" s="3">
        <f t="shared" si="0"/>
        <v>100</v>
      </c>
      <c r="G7" t="s">
        <v>19</v>
      </c>
    </row>
    <row r="8" spans="1:8">
      <c r="A8" s="2"/>
      <c r="F8" s="3">
        <f>SUBTOTAL(9,F2:F7)</f>
        <v>3135</v>
      </c>
    </row>
    <row r="12" spans="1:8">
      <c r="H1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190A-A210-4D8D-8A11-D54AF491C46A}">
  <dimension ref="A1:G12"/>
  <sheetViews>
    <sheetView tabSelected="1" workbookViewId="0">
      <selection activeCell="F9" sqref="F9"/>
    </sheetView>
  </sheetViews>
  <sheetFormatPr defaultRowHeight="15"/>
  <cols>
    <col min="1" max="1" width="19.42578125" customWidth="1"/>
    <col min="2" max="2" width="14.28515625" customWidth="1"/>
    <col min="3" max="3" width="14.85546875" customWidth="1"/>
    <col min="4" max="4" width="12.5703125" customWidth="1"/>
    <col min="5" max="5" width="16.85546875" customWidth="1"/>
    <col min="6" max="6" width="12.42578125" customWidth="1"/>
    <col min="7" max="7" width="15.570312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5">
        <v>46023</v>
      </c>
      <c r="B2" s="6" t="s">
        <v>7</v>
      </c>
      <c r="C2" s="6" t="s">
        <v>8</v>
      </c>
      <c r="D2">
        <v>2</v>
      </c>
      <c r="E2">
        <v>800</v>
      </c>
      <c r="F2" s="3">
        <f>D2*E2</f>
        <v>1600</v>
      </c>
      <c r="G2" t="s">
        <v>9</v>
      </c>
    </row>
    <row r="3" spans="1:7">
      <c r="A3" s="5">
        <v>46025</v>
      </c>
      <c r="B3" s="6" t="s">
        <v>7</v>
      </c>
      <c r="C3" s="6" t="s">
        <v>8</v>
      </c>
      <c r="D3">
        <v>1</v>
      </c>
      <c r="E3">
        <v>800</v>
      </c>
      <c r="F3" s="3">
        <f t="shared" ref="F3:F7" si="0">D3*E3</f>
        <v>800</v>
      </c>
      <c r="G3" t="s">
        <v>10</v>
      </c>
    </row>
    <row r="4" spans="1:7">
      <c r="A4" s="5">
        <v>46024</v>
      </c>
      <c r="B4" s="6" t="s">
        <v>11</v>
      </c>
      <c r="C4" s="6" t="s">
        <v>8</v>
      </c>
      <c r="D4">
        <v>1</v>
      </c>
      <c r="E4">
        <v>300</v>
      </c>
      <c r="F4" s="3">
        <f t="shared" si="0"/>
        <v>300</v>
      </c>
      <c r="G4" t="s">
        <v>12</v>
      </c>
    </row>
    <row r="5" spans="1:7">
      <c r="A5" s="5">
        <v>46025</v>
      </c>
      <c r="B5" s="6" t="s">
        <v>13</v>
      </c>
      <c r="C5" s="6" t="s">
        <v>14</v>
      </c>
      <c r="D5">
        <v>4</v>
      </c>
      <c r="E5">
        <v>50</v>
      </c>
      <c r="F5" s="3">
        <f t="shared" si="0"/>
        <v>200</v>
      </c>
      <c r="G5" t="s">
        <v>15</v>
      </c>
    </row>
    <row r="6" spans="1:7">
      <c r="A6" s="5">
        <v>46024</v>
      </c>
      <c r="B6" s="6" t="s">
        <v>16</v>
      </c>
      <c r="C6" s="6" t="s">
        <v>14</v>
      </c>
      <c r="D6">
        <v>3</v>
      </c>
      <c r="E6">
        <v>45</v>
      </c>
      <c r="F6" s="3">
        <f t="shared" si="0"/>
        <v>135</v>
      </c>
      <c r="G6" t="s">
        <v>17</v>
      </c>
    </row>
    <row r="7" spans="1:7">
      <c r="A7" s="5">
        <v>46023</v>
      </c>
      <c r="B7" s="6" t="s">
        <v>18</v>
      </c>
      <c r="C7" s="6" t="s">
        <v>14</v>
      </c>
      <c r="D7">
        <v>5</v>
      </c>
      <c r="E7">
        <v>20</v>
      </c>
      <c r="F7" s="3">
        <f t="shared" si="0"/>
        <v>100</v>
      </c>
      <c r="G7" t="s">
        <v>19</v>
      </c>
    </row>
    <row r="8" spans="1:7">
      <c r="A8" s="2"/>
      <c r="F8" s="3">
        <f>SUM(Table13[Total Sales])</f>
        <v>3135</v>
      </c>
    </row>
    <row r="9" spans="1:7">
      <c r="F9">
        <f>AVERAGE(Table13[Total Sales])</f>
        <v>522.5</v>
      </c>
    </row>
    <row r="10" spans="1:7">
      <c r="F10">
        <f>MIN(Table13[Total Sales])</f>
        <v>100</v>
      </c>
    </row>
    <row r="11" spans="1:7">
      <c r="F11" s="3">
        <f>MAX(Table13[Total Sales])</f>
        <v>1600</v>
      </c>
    </row>
    <row r="12" spans="1:7">
      <c r="F12">
        <f>COUNT(Table13[Total Sales])</f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2026-06-23T19:26:00Z</dcterms:created>
  <dcterms:modified xsi:type="dcterms:W3CDTF">2026-06-24T14:10:17Z</dcterms:modified>
  <cp:category/>
  <cp:contentStatus/>
</cp:coreProperties>
</file>